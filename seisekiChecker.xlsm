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ghtServe\Desktop\"/>
    </mc:Choice>
  </mc:AlternateContent>
  <xr:revisionPtr revIDLastSave="0" documentId="8_{E317115B-66A9-45BF-AB49-FDA97B1ABB04}" xr6:coauthVersionLast="47" xr6:coauthVersionMax="47" xr10:uidLastSave="{00000000-0000-0000-0000-000000000000}"/>
  <bookViews>
    <workbookView xWindow="-105" yWindow="0" windowWidth="14610" windowHeight="15585" activeTab="3" xr2:uid="{3FF832E2-1D6B-4D55-8E51-6EEC01FD6B65}"/>
  </bookViews>
  <sheets>
    <sheet name="生徒登録用" sheetId="1" r:id="rId1"/>
    <sheet name="成績登録用" sheetId="2" r:id="rId2"/>
    <sheet name="成績確認用" sheetId="3" r:id="rId3"/>
    <sheet name="Sheet5" sheetId="6" r:id="rId4"/>
    <sheet name="DB（成績情報）" sheetId="5" r:id="rId5"/>
  </sheets>
  <definedNames>
    <definedName name="_xlcn.WorksheetConnection_正と負の数判定.xlsmテーブル31" hidden="1">テーブル3[]</definedName>
  </definedNames>
  <calcPr calcId="191029"/>
  <pivotCaches>
    <pivotCache cacheId="18" r:id="rId6"/>
    <pivotCache cacheId="24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テーブル3" name="テーブル3" connection="WorksheetConnection_正と負の数判定.xlsm!テーブル3"/>
        </x15:modelTables>
      </x15:dataModel>
    </ext>
  </extLst>
</workbook>
</file>

<file path=xl/calcChain.xml><?xml version="1.0" encoding="utf-8"?>
<calcChain xmlns="http://schemas.openxmlformats.org/spreadsheetml/2006/main">
  <c r="I38" i="5" l="1"/>
  <c r="I37" i="5"/>
  <c r="I36" i="5"/>
  <c r="I35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603A5-0913-4C5C-AB10-B94C11780A3B}" keepAlive="1" name="ThisWorkbookDataModel" description="データ モデル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380C2AC-7D08-4996-B6F7-9313F76EC8C1}" name="WorksheetConnection_正と負の数判定.xlsm!テーブル3" type="102" refreshedVersion="8" minRefreshableVersion="5">
    <extLst>
      <ext xmlns:x15="http://schemas.microsoft.com/office/spreadsheetml/2010/11/main" uri="{DE250136-89BD-433C-8126-D09CA5730AF9}">
        <x15:connection id="テーブル3" autoDelete="1">
          <x15:rangePr sourceName="_xlcn.WorksheetConnection_正と負の数判定.xlsmテーブル31"/>
        </x15:connection>
      </ext>
    </extLst>
  </connection>
</connections>
</file>

<file path=xl/sharedStrings.xml><?xml version="1.0" encoding="utf-8"?>
<sst xmlns="http://schemas.openxmlformats.org/spreadsheetml/2006/main" count="142" uniqueCount="39">
  <si>
    <t>生徒登録画面</t>
    <rPh sb="0" eb="2">
      <t>セイト</t>
    </rPh>
    <rPh sb="2" eb="4">
      <t>トウロク</t>
    </rPh>
    <rPh sb="4" eb="6">
      <t>ガメン</t>
    </rPh>
    <phoneticPr fontId="1"/>
  </si>
  <si>
    <t>生徒の情報を入れ（コピペ可）、登録ボタンを押してください。</t>
    <rPh sb="0" eb="2">
      <t>セイト</t>
    </rPh>
    <rPh sb="3" eb="5">
      <t>ジョウホウ</t>
    </rPh>
    <rPh sb="6" eb="7">
      <t>イ</t>
    </rPh>
    <rPh sb="12" eb="13">
      <t>カ</t>
    </rPh>
    <rPh sb="15" eb="17">
      <t>トウロク</t>
    </rPh>
    <rPh sb="21" eb="22">
      <t>オ</t>
    </rPh>
    <phoneticPr fontId="1"/>
  </si>
  <si>
    <t>成績登録画面</t>
    <rPh sb="0" eb="2">
      <t>セイセキ</t>
    </rPh>
    <rPh sb="2" eb="4">
      <t>トウロク</t>
    </rPh>
    <rPh sb="4" eb="6">
      <t>ガメン</t>
    </rPh>
    <phoneticPr fontId="1"/>
  </si>
  <si>
    <t>テストや課題の情報を入力し、登録ボタンを押してください。</t>
    <rPh sb="4" eb="6">
      <t>カダイ</t>
    </rPh>
    <rPh sb="7" eb="9">
      <t>ジョウホウ</t>
    </rPh>
    <rPh sb="10" eb="12">
      <t>ニュウリョク</t>
    </rPh>
    <rPh sb="14" eb="16">
      <t>トウロク</t>
    </rPh>
    <rPh sb="20" eb="21">
      <t>オ</t>
    </rPh>
    <phoneticPr fontId="1"/>
  </si>
  <si>
    <t>テスト名（例：中間考査、小テストNo1）</t>
    <rPh sb="3" eb="4">
      <t>メイ</t>
    </rPh>
    <rPh sb="5" eb="6">
      <t>レイ</t>
    </rPh>
    <rPh sb="7" eb="9">
      <t>チュウカン</t>
    </rPh>
    <rPh sb="9" eb="11">
      <t>コウサ</t>
    </rPh>
    <rPh sb="12" eb="13">
      <t>ショウ</t>
    </rPh>
    <phoneticPr fontId="1"/>
  </si>
  <si>
    <t>満点</t>
    <rPh sb="0" eb="2">
      <t>マンテン</t>
    </rPh>
    <phoneticPr fontId="1"/>
  </si>
  <si>
    <t>生徒の点数</t>
    <rPh sb="0" eb="2">
      <t>セイト</t>
    </rPh>
    <rPh sb="3" eb="5">
      <t>テンスウ</t>
    </rPh>
    <phoneticPr fontId="1"/>
  </si>
  <si>
    <t>年</t>
    <rPh sb="0" eb="1">
      <t>ネン</t>
    </rPh>
    <phoneticPr fontId="1"/>
  </si>
  <si>
    <t>組</t>
    <rPh sb="0" eb="1">
      <t>クミ</t>
    </rPh>
    <phoneticPr fontId="1"/>
  </si>
  <si>
    <t>番</t>
    <rPh sb="0" eb="1">
      <t>バン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</si>
  <si>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</si>
  <si>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</si>
  <si>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成績確認画面</t>
    <rPh sb="0" eb="2">
      <t>セイセキ</t>
    </rPh>
    <rPh sb="2" eb="4">
      <t>カクニン</t>
    </rPh>
    <rPh sb="4" eb="6">
      <t>ガメン</t>
    </rPh>
    <phoneticPr fontId="1"/>
  </si>
  <si>
    <t>成績を算出してあります。</t>
    <rPh sb="0" eb="2">
      <t>セイセキ</t>
    </rPh>
    <rPh sb="3" eb="5">
      <t>サンシュツ</t>
    </rPh>
    <phoneticPr fontId="1"/>
  </si>
  <si>
    <t>成績</t>
    <rPh sb="0" eb="2">
      <t>セイセキ</t>
    </rPh>
    <phoneticPr fontId="1"/>
  </si>
  <si>
    <t>DB（成績情報）</t>
    <rPh sb="3" eb="5">
      <t>セイセキ</t>
    </rPh>
    <rPh sb="5" eb="7">
      <t>ジョウホウ</t>
    </rPh>
    <phoneticPr fontId="1"/>
  </si>
  <si>
    <t>テスト名</t>
    <rPh sb="3" eb="4">
      <t>メイ</t>
    </rPh>
    <phoneticPr fontId="1"/>
  </si>
  <si>
    <t>田中</t>
  </si>
  <si>
    <t>鈴木</t>
  </si>
  <si>
    <t>イクシア</t>
  </si>
  <si>
    <t>横田</t>
  </si>
  <si>
    <t>小テスト</t>
  </si>
  <si>
    <t>中間テスト</t>
  </si>
  <si>
    <t>振り返り</t>
  </si>
  <si>
    <t>小テストNo.2</t>
  </si>
  <si>
    <t>春休み宿題</t>
  </si>
  <si>
    <t>登録日</t>
    <rPh sb="0" eb="3">
      <t>トウロクビ</t>
    </rPh>
    <phoneticPr fontId="1"/>
  </si>
  <si>
    <t>あいう</t>
  </si>
  <si>
    <t>かきく</t>
  </si>
  <si>
    <t>合計</t>
  </si>
  <si>
    <t>平均</t>
    <phoneticPr fontId="1"/>
  </si>
  <si>
    <t>累計</t>
    <phoneticPr fontId="1"/>
  </si>
  <si>
    <t>個数</t>
    <phoneticPr fontId="1"/>
  </si>
  <si>
    <t>行ラベル</t>
  </si>
  <si>
    <t>総計</t>
  </si>
  <si>
    <t>平均 / 点数/満点</t>
  </si>
  <si>
    <t>点数/満点*100</t>
    <rPh sb="0" eb="2">
      <t>テンスウ</t>
    </rPh>
    <rPh sb="3" eb="5">
      <t>マンテン</t>
    </rPh>
    <phoneticPr fontId="1"/>
  </si>
  <si>
    <t>平均 / 点数/満点*100</t>
  </si>
  <si>
    <t>期末考査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</si>
</sst>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22" fontId="0" fillId="0" borderId="2" xfId="0" applyNumberFormat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22" fontId="0" fillId="0" borderId="10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9" xfId="0" applyNumberFormat="1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</cellXfs>
  <cellStyles count="1">
    <cellStyle name="標準" xfId="0" builtinId="0"/>
  </cellStyles>
  <dxfs count="13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7" formatCode="yyyy/m/d\ h:mm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ghtServe" refreshedDate="45103.609636689813" createdVersion="8" refreshedVersion="8" minRefreshableVersion="3" recordCount="32" xr:uid="{C6344625-8706-4E5C-A91B-B03B6106C072}">
  <cacheSource type="worksheet">
    <worksheetSource name="テーブル3"/>
  </cacheSource>
  <cacheFields count="9">
    <cacheField name="テスト名" numFmtId="0">
      <sharedItems/>
    </cacheField>
    <cacheField name="満点" numFmtId="0">
      <sharedItems containsSemiMixedTypes="0" containsString="0" containsNumber="1" containsInteger="1" minValue="3" maxValue="40"/>
    </cacheField>
    <cacheField name="年" numFmtId="0">
      <sharedItems containsSemiMixedTypes="0" containsString="0" containsNumber="1" containsInteger="1" minValue="1" maxValue="2"/>
    </cacheField>
    <cacheField name="組" numFmtId="0">
      <sharedItems containsSemiMixedTypes="0" containsString="0" containsNumber="1" containsInteger="1" minValue="1" maxValue="4"/>
    </cacheField>
    <cacheField name="番" numFmtId="0">
      <sharedItems containsSemiMixedTypes="0" containsString="0" containsNumber="1" containsInteger="1" minValue="2" maxValue="4"/>
    </cacheField>
    <cacheField name="名前" numFmtId="0">
      <sharedItems count="4">
        <s v="田中"/>
        <s v="鈴木"/>
        <s v="イクシア"/>
        <s v="横田"/>
      </sharedItems>
    </cacheField>
    <cacheField name="点数" numFmtId="0">
      <sharedItems containsSemiMixedTypes="0" containsString="0" containsNumber="1" containsInteger="1" minValue="2" maxValue="40"/>
    </cacheField>
    <cacheField name="登録日" numFmtId="0">
      <sharedItems containsNonDate="0" containsDate="1" containsString="0" containsBlank="1" minDate="2023-06-26T14:20:28" maxDate="2023-06-26T14:20:28"/>
    </cacheField>
    <cacheField name="点数/満点" numFmtId="0">
      <sharedItems containsSemiMixedTypes="0" containsString="0" containsNumber="1" minValue="0.25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ightServe" refreshedDate="45103.612273611114" backgroundQuery="1" createdVersion="8" refreshedVersion="8" minRefreshableVersion="3" recordCount="0" supportSubquery="1" supportAdvancedDrill="1" xr:uid="{75AD0DF3-0EF0-4003-924C-A3F2C0FA7A1E}">
  <cacheSource type="external" connectionId="1"/>
  <cacheFields count="2">
    <cacheField name="[Measures].[平均 / 点数/満点*100]" caption="平均 / 点数/満点*100" numFmtId="0" hierarchy="11" level="32767"/>
    <cacheField name="[テーブル3].[名前].[名前]" caption="名前" numFmtId="0" hierarchy="5" level="1">
      <sharedItems count="4">
        <s v="イクシア"/>
        <s v="横田"/>
        <s v="田中"/>
        <s v="鈴木"/>
      </sharedItems>
    </cacheField>
  </cacheFields>
  <cacheHierarchies count="12">
    <cacheHierarchy uniqueName="[テーブル3].[テスト名]" caption="テスト名" attribute="1" defaultMemberUniqueName="[テーブル3].[テスト名].[All]" allUniqueName="[テーブル3].[テスト名].[All]" dimensionUniqueName="[テーブル3]" displayFolder="" count="0" memberValueDatatype="130" unbalanced="0"/>
    <cacheHierarchy uniqueName="[テーブル3].[満点]" caption="満点" attribute="1" defaultMemberUniqueName="[テーブル3].[満点].[All]" allUniqueName="[テーブル3].[満点].[All]" dimensionUniqueName="[テーブル3]" displayFolder="" count="0" memberValueDatatype="20" unbalanced="0"/>
    <cacheHierarchy uniqueName="[テーブル3].[年]" caption="年" attribute="1" defaultMemberUniqueName="[テーブル3].[年].[All]" allUniqueName="[テーブル3].[年].[All]" dimensionUniqueName="[テーブル3]" displayFolder="" count="0" memberValueDatatype="20" unbalanced="0"/>
    <cacheHierarchy uniqueName="[テーブル3].[組]" caption="組" attribute="1" defaultMemberUniqueName="[テーブル3].[組].[All]" allUniqueName="[テーブル3].[組].[All]" dimensionUniqueName="[テーブル3]" displayFolder="" count="0" memberValueDatatype="20" unbalanced="0"/>
    <cacheHierarchy uniqueName="[テーブル3].[番]" caption="番" attribute="1" defaultMemberUniqueName="[テーブル3].[番].[All]" allUniqueName="[テーブル3].[番].[All]" dimensionUniqueName="[テーブル3]" displayFolder="" count="0" memberValueDatatype="20" unbalanced="0"/>
    <cacheHierarchy uniqueName="[テーブル3].[名前]" caption="名前" attribute="1" defaultMemberUniqueName="[テーブル3].[名前].[All]" allUniqueName="[テーブル3].[名前].[All]" dimensionUniqueName="[テーブル3]" displayFolder="" count="2" memberValueDatatype="130" unbalanced="0">
      <fieldsUsage count="2">
        <fieldUsage x="-1"/>
        <fieldUsage x="1"/>
      </fieldsUsage>
    </cacheHierarchy>
    <cacheHierarchy uniqueName="[テーブル3].[点数]" caption="点数" attribute="1" defaultMemberUniqueName="[テーブル3].[点数].[All]" allUniqueName="[テーブル3].[点数].[All]" dimensionUniqueName="[テーブル3]" displayFolder="" count="0" memberValueDatatype="20" unbalanced="0"/>
    <cacheHierarchy uniqueName="[テーブル3].[登録日]" caption="登録日" attribute="1" time="1" defaultMemberUniqueName="[テーブル3].[登録日].[All]" allUniqueName="[テーブル3].[登録日].[All]" dimensionUniqueName="[テーブル3]" displayFolder="" count="0" memberValueDatatype="7" unbalanced="0"/>
    <cacheHierarchy uniqueName="[テーブル3].[点数/満点*100]" caption="点数/満点*100" attribute="1" defaultMemberUniqueName="[テーブル3].[点数/満点*100].[All]" allUniqueName="[テーブル3].[点数/満点*100].[All]" dimensionUniqueName="[テーブル3]" displayFolder="" count="0" memberValueDatatype="5" unbalanced="0"/>
    <cacheHierarchy uniqueName="[Measures].[__XL_Count テーブル3]" caption="__XL_Count テーブル3" measure="1" displayFolder="" measureGroup="テーブル3" count="0" hidden="1"/>
    <cacheHierarchy uniqueName="[Measures].[__No measures defined]" caption="__No measures defined" measure="1" displayFolder="" count="0" hidden="1"/>
    <cacheHierarchy uniqueName="[Measures].[平均 / 点数/満点*100]" caption="平均 / 点数/満点*100" measure="1" displayFolder="" measureGroup="テーブル3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measure="1" name="Measures" uniqueName="[Measures]" caption="Measures"/>
    <dimension name="テーブル3" uniqueName="[テーブル3]" caption="テーブル3"/>
  </dimensions>
  <measureGroups count="1">
    <measureGroup name="テーブル3" caption="テーブル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s v="小テスト"/>
    <n v="40"/>
    <n v="1"/>
    <n v="1"/>
    <n v="2"/>
    <x v="0"/>
    <n v="10"/>
    <m/>
    <n v="0.25"/>
  </r>
  <r>
    <s v="小テスト"/>
    <n v="40"/>
    <n v="1"/>
    <n v="3"/>
    <n v="2"/>
    <x v="1"/>
    <n v="20"/>
    <m/>
    <n v="0.5"/>
  </r>
  <r>
    <s v="小テスト"/>
    <n v="40"/>
    <n v="2"/>
    <n v="4"/>
    <n v="3"/>
    <x v="2"/>
    <n v="30"/>
    <m/>
    <n v="0.75"/>
  </r>
  <r>
    <s v="小テスト"/>
    <n v="40"/>
    <n v="2"/>
    <n v="1"/>
    <n v="4"/>
    <x v="3"/>
    <n v="40"/>
    <m/>
    <n v="1"/>
  </r>
  <r>
    <s v="中間テスト"/>
    <n v="40"/>
    <n v="1"/>
    <n v="1"/>
    <n v="2"/>
    <x v="0"/>
    <n v="10"/>
    <m/>
    <n v="0.25"/>
  </r>
  <r>
    <s v="中間テスト"/>
    <n v="40"/>
    <n v="1"/>
    <n v="3"/>
    <n v="2"/>
    <x v="1"/>
    <n v="20"/>
    <m/>
    <n v="0.5"/>
  </r>
  <r>
    <s v="中間テスト"/>
    <n v="40"/>
    <n v="2"/>
    <n v="4"/>
    <n v="3"/>
    <x v="2"/>
    <n v="30"/>
    <m/>
    <n v="0.75"/>
  </r>
  <r>
    <s v="中間テスト"/>
    <n v="40"/>
    <n v="2"/>
    <n v="1"/>
    <n v="4"/>
    <x v="3"/>
    <n v="40"/>
    <m/>
    <n v="1"/>
  </r>
  <r>
    <s v="振り返り"/>
    <n v="40"/>
    <n v="1"/>
    <n v="1"/>
    <n v="2"/>
    <x v="0"/>
    <n v="10"/>
    <m/>
    <n v="0.25"/>
  </r>
  <r>
    <s v="振り返り"/>
    <n v="40"/>
    <n v="1"/>
    <n v="3"/>
    <n v="2"/>
    <x v="1"/>
    <n v="20"/>
    <m/>
    <n v="0.5"/>
  </r>
  <r>
    <s v="振り返り"/>
    <n v="40"/>
    <n v="2"/>
    <n v="4"/>
    <n v="3"/>
    <x v="2"/>
    <n v="30"/>
    <m/>
    <n v="0.75"/>
  </r>
  <r>
    <s v="振り返り"/>
    <n v="40"/>
    <n v="2"/>
    <n v="1"/>
    <n v="4"/>
    <x v="3"/>
    <n v="40"/>
    <m/>
    <n v="1"/>
  </r>
  <r>
    <s v="小テストNo.2"/>
    <n v="40"/>
    <n v="1"/>
    <n v="1"/>
    <n v="2"/>
    <x v="0"/>
    <n v="10"/>
    <m/>
    <n v="0.25"/>
  </r>
  <r>
    <s v="小テストNo.2"/>
    <n v="40"/>
    <n v="1"/>
    <n v="3"/>
    <n v="2"/>
    <x v="1"/>
    <n v="20"/>
    <m/>
    <n v="0.5"/>
  </r>
  <r>
    <s v="小テストNo.2"/>
    <n v="40"/>
    <n v="2"/>
    <n v="4"/>
    <n v="3"/>
    <x v="2"/>
    <n v="30"/>
    <m/>
    <n v="0.75"/>
  </r>
  <r>
    <s v="小テストNo.2"/>
    <n v="40"/>
    <n v="2"/>
    <n v="1"/>
    <n v="4"/>
    <x v="3"/>
    <n v="40"/>
    <m/>
    <n v="1"/>
  </r>
  <r>
    <s v="小テストNo.2"/>
    <n v="40"/>
    <n v="1"/>
    <n v="1"/>
    <n v="2"/>
    <x v="0"/>
    <n v="10"/>
    <m/>
    <n v="0.25"/>
  </r>
  <r>
    <s v="小テストNo.2"/>
    <n v="40"/>
    <n v="1"/>
    <n v="3"/>
    <n v="2"/>
    <x v="1"/>
    <n v="20"/>
    <m/>
    <n v="0.5"/>
  </r>
  <r>
    <s v="小テストNo.2"/>
    <n v="40"/>
    <n v="2"/>
    <n v="4"/>
    <n v="3"/>
    <x v="2"/>
    <n v="30"/>
    <m/>
    <n v="0.75"/>
  </r>
  <r>
    <s v="小テストNo.2"/>
    <n v="40"/>
    <n v="2"/>
    <n v="1"/>
    <n v="4"/>
    <x v="3"/>
    <n v="40"/>
    <m/>
    <n v="1"/>
  </r>
  <r>
    <s v="春休み宿題"/>
    <n v="3"/>
    <n v="1"/>
    <n v="1"/>
    <n v="2"/>
    <x v="0"/>
    <n v="2"/>
    <m/>
    <n v="0.66666666666666663"/>
  </r>
  <r>
    <s v="春休み宿題"/>
    <n v="3"/>
    <n v="1"/>
    <n v="3"/>
    <n v="2"/>
    <x v="1"/>
    <n v="2"/>
    <m/>
    <n v="0.66666666666666663"/>
  </r>
  <r>
    <s v="春休み宿題"/>
    <n v="3"/>
    <n v="2"/>
    <n v="4"/>
    <n v="3"/>
    <x v="2"/>
    <n v="3"/>
    <m/>
    <n v="1"/>
  </r>
  <r>
    <s v="春休み宿題"/>
    <n v="3"/>
    <n v="2"/>
    <n v="1"/>
    <n v="4"/>
    <x v="3"/>
    <n v="3"/>
    <m/>
    <n v="1"/>
  </r>
  <r>
    <s v="あいう"/>
    <n v="5"/>
    <n v="1"/>
    <n v="1"/>
    <n v="2"/>
    <x v="0"/>
    <n v="4"/>
    <m/>
    <n v="0.8"/>
  </r>
  <r>
    <s v="あいう"/>
    <n v="5"/>
    <n v="1"/>
    <n v="3"/>
    <n v="2"/>
    <x v="1"/>
    <n v="4"/>
    <m/>
    <n v="0.8"/>
  </r>
  <r>
    <s v="あいう"/>
    <n v="5"/>
    <n v="2"/>
    <n v="4"/>
    <n v="3"/>
    <x v="2"/>
    <n v="4"/>
    <m/>
    <n v="0.8"/>
  </r>
  <r>
    <s v="あいう"/>
    <n v="5"/>
    <n v="2"/>
    <n v="1"/>
    <n v="4"/>
    <x v="3"/>
    <n v="4"/>
    <m/>
    <n v="0.8"/>
  </r>
  <r>
    <s v="かきく"/>
    <n v="4"/>
    <n v="1"/>
    <n v="1"/>
    <n v="2"/>
    <x v="0"/>
    <n v="3"/>
    <d v="2023-06-26T14:20:28"/>
    <n v="0.75"/>
  </r>
  <r>
    <s v="かきく"/>
    <n v="4"/>
    <n v="1"/>
    <n v="3"/>
    <n v="2"/>
    <x v="1"/>
    <n v="3"/>
    <d v="2023-06-26T14:20:28"/>
    <n v="0.75"/>
  </r>
  <r>
    <s v="かきく"/>
    <n v="4"/>
    <n v="2"/>
    <n v="4"/>
    <n v="3"/>
    <x v="2"/>
    <n v="3"/>
    <d v="2023-06-26T14:20:28"/>
    <n v="0.75"/>
  </r>
  <r>
    <s v="かきく"/>
    <n v="4"/>
    <n v="2"/>
    <n v="1"/>
    <n v="4"/>
    <x v="3"/>
    <n v="3"/>
    <d v="2023-06-26T14:20:28"/>
    <n v="0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58E9EA-FD10-4CC2-B9E9-B0DF567C3113}" name="ピボットテーブル13" cacheId="24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8" firstHeaderRow="1" firstDataRow="1" firstDataCol="1"/>
  <pivotFields count="2">
    <pivotField dataField="1" subtotalTop="0" showAll="0" defaultSubtota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平均 / 点数/満点*100" fld="0" subtotal="average" baseField="0" baseItem="0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正と負の数判定.xlsm!テーブル3">
        <x15:activeTabTopLevelEntity name="[テーブル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9663F4-53BF-41BE-901E-1A9FE6A61702}" name="ピボットテーブル12" cacheId="1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K9:L14" firstHeaderRow="1" firstDataRow="1" firstDataCol="1"/>
  <pivotFields count="9"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dataField="1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平均 / 点数/満点" fld="8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4AD12-36F6-4D5D-BAD2-9874D3B82200}" name="ピボットテーブル11" cacheId="1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K2:L7" firstHeaderRow="1" firstDataRow="1" firstDataCol="1"/>
  <pivotFields count="9"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dataField="1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平均 / 点数/満点" fld="8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01FE1C-FF63-4A4C-8F4B-62A5F28C38E1}" name="テーブル3" displayName="テーブル3" ref="A2:I38" totalsRowShown="0" headerRowDxfId="1" headerRowBorderDxfId="11" tableBorderDxfId="12" totalsRowBorderDxfId="10">
  <autoFilter ref="A2:I38" xr:uid="{1E01FE1C-FF63-4A4C-8F4B-62A5F28C38E1}"/>
  <tableColumns count="9">
    <tableColumn id="1" xr3:uid="{927D47EE-8612-4CF4-90EA-A27084B5FC43}" name="テスト名" dataDxfId="9"/>
    <tableColumn id="2" xr3:uid="{82A3AA99-111A-4C34-AE9A-55F7C8C4F5B9}" name="満点" dataDxfId="8"/>
    <tableColumn id="3" xr3:uid="{F660B070-411A-45E6-B248-DCA8274FDFF8}" name="年" dataDxfId="7"/>
    <tableColumn id="4" xr3:uid="{19504237-1C8A-4BAB-ACFE-396A3C249D2C}" name="組" dataDxfId="6"/>
    <tableColumn id="5" xr3:uid="{1D192F76-5CBD-4AF5-AE0F-B0C20C2F0A4C}" name="番" dataDxfId="5"/>
    <tableColumn id="6" xr3:uid="{2CE511C7-16DF-48C4-9079-B8E22CF51B42}" name="名前" dataDxfId="4"/>
    <tableColumn id="7" xr3:uid="{6A994045-4669-4217-B3DE-055ADC5E1151}" name="点数" dataDxfId="3"/>
    <tableColumn id="8" xr3:uid="{C1454D85-3F08-4882-B028-68A372E66A42}" name="登録日" dataDxfId="2"/>
    <tableColumn id="9" xr3:uid="{C99509D0-4A77-46C3-A5F3-49C07752E1AC}" name="点数/満点*100" dataDxfId="0">
      <calculatedColumnFormula>テーブル3[[#This Row],[点数]]/テーブル3[[#This Row],[満点]]*100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9B5E-99BE-43C5-9FC2-AFEA6B8EA8C0}">
  <sheetPr codeName="Sheet1"/>
  <dimension ref="A1:D8"/>
  <sheetViews>
    <sheetView workbookViewId="0">
      <selection activeCell="H10" sqref="H10"/>
    </sheetView>
  </sheetViews>
  <sheetFormatPr defaultRowHeight="18.75" x14ac:dyDescent="0.4"/>
  <cols>
    <col min="1" max="3" width="5.75" customWidth="1"/>
    <col min="4" max="4" width="18.125" customWidth="1"/>
  </cols>
  <sheetData>
    <row r="1" spans="1:4" ht="36" customHeight="1" x14ac:dyDescent="0.4">
      <c r="A1" s="1" t="s">
        <v>0</v>
      </c>
    </row>
    <row r="2" spans="1:4" x14ac:dyDescent="0.4">
      <c r="A2" t="s">
        <v>1</v>
      </c>
    </row>
    <row r="4" spans="1:4" x14ac:dyDescent="0.4">
      <c r="A4" s="2" t="s">
        <v>7</v>
      </c>
      <c r="B4" s="2" t="s">
        <v>8</v>
      </c>
      <c r="C4" s="2" t="s">
        <v>9</v>
      </c>
      <c r="D4" s="2" t="s">
        <v>10</v>
      </c>
    </row>
    <row r="5" spans="1:4" x14ac:dyDescent="0.4">
      <c r="A5" s="2"/>
      <c r="B5" s="2"/>
      <c r="C5" s="2"/>
      <c r="D5" s="2"/>
    </row>
    <row r="6" spans="1:4" x14ac:dyDescent="0.4">
      <c r="A6" s="2"/>
      <c r="B6" s="2"/>
      <c r="C6" s="2"/>
      <c r="D6" s="2"/>
    </row>
    <row r="7" spans="1:4" x14ac:dyDescent="0.4">
      <c r="A7" s="2"/>
      <c r="B7" s="2"/>
      <c r="C7" s="2"/>
      <c r="D7" s="2"/>
    </row>
    <row r="8" spans="1:4" x14ac:dyDescent="0.4">
      <c r="A8" s="2"/>
      <c r="B8" s="2"/>
      <c r="C8" s="2"/>
      <c r="D8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登録ボタンクリック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62EE-460B-4C2C-BB97-B0BF530816D7}">
  <sheetPr codeName="Sheet2"/>
  <dimension ref="A1:E15"/>
  <sheetViews>
    <sheetView workbookViewId="0">
      <selection activeCell="E15" sqref="E15"/>
    </sheetView>
  </sheetViews>
  <sheetFormatPr defaultRowHeight="18.75" x14ac:dyDescent="0.4"/>
  <cols>
    <col min="1" max="1" width="3.75" customWidth="1"/>
    <col min="2" max="2" width="4" customWidth="1"/>
    <col min="3" max="3" width="4.25" customWidth="1"/>
    <col min="4" max="4" width="17.75" customWidth="1"/>
  </cols>
  <sheetData>
    <row r="1" spans="1:5" ht="37.5" customHeight="1" x14ac:dyDescent="0.4">
      <c r="A1" s="1" t="s">
        <v>2</v>
      </c>
    </row>
    <row r="2" spans="1:5" x14ac:dyDescent="0.4">
      <c r="A2" t="s">
        <v>3</v>
      </c>
    </row>
    <row r="4" spans="1:5" x14ac:dyDescent="0.4">
      <c r="A4" t="s">
        <v>4</v>
      </c>
    </row>
    <row r="5" spans="1:5" x14ac:dyDescent="0.4">
      <c r="A5" s="3"/>
      <c r="B5" s="4"/>
      <c r="C5" s="4"/>
      <c r="D5" s="4"/>
      <c r="E5" s="5"/>
    </row>
    <row r="7" spans="1:5" x14ac:dyDescent="0.4">
      <c r="A7" t="s">
        <v>5</v>
      </c>
    </row>
    <row r="8" spans="1:5" x14ac:dyDescent="0.4">
      <c r="A8" s="3"/>
      <c r="B8" s="4"/>
      <c r="C8" s="5"/>
    </row>
    <row r="10" spans="1:5" x14ac:dyDescent="0.4">
      <c r="A10" t="s">
        <v>6</v>
      </c>
    </row>
    <row r="11" spans="1:5" x14ac:dyDescent="0.4">
      <c r="A11" s="2" t="s">
        <v>7</v>
      </c>
      <c r="B11" s="2" t="s">
        <v>8</v>
      </c>
      <c r="C11" s="2" t="s">
        <v>9</v>
      </c>
      <c r="D11" s="2" t="s">
        <v>10</v>
      </c>
      <c r="E11" s="2" t="s">
        <v>11</v>
      </c>
    </row>
    <row r="12" spans="1:5" x14ac:dyDescent="0.4">
      <c r="A12" s="2">
        <v>1</v>
      </c>
      <c r="B12" s="2">
        <v>1</v>
      </c>
      <c r="C12" s="2">
        <v>2</v>
      </c>
      <c r="D12" s="2" t="s">
        <v>17</v>
      </c>
      <c r="E12" s="2"/>
    </row>
    <row r="13" spans="1:5" x14ac:dyDescent="0.4">
      <c r="A13" s="2">
        <v>1</v>
      </c>
      <c r="B13" s="2">
        <v>3</v>
      </c>
      <c r="C13" s="2">
        <v>2</v>
      </c>
      <c r="D13" s="2" t="s">
        <v>18</v>
      </c>
      <c r="E13" s="2"/>
    </row>
    <row r="14" spans="1:5" x14ac:dyDescent="0.4">
      <c r="A14" s="2">
        <v>2</v>
      </c>
      <c r="B14" s="2">
        <v>4</v>
      </c>
      <c r="C14" s="2">
        <v>3</v>
      </c>
      <c r="D14" s="2" t="s">
        <v>19</v>
      </c>
      <c r="E14" s="2"/>
    </row>
    <row r="15" spans="1:5" x14ac:dyDescent="0.4">
      <c r="A15" s="2">
        <v>2</v>
      </c>
      <c r="B15" s="2">
        <v>1</v>
      </c>
      <c r="C15" s="2">
        <v>4</v>
      </c>
      <c r="D15" s="2" t="s">
        <v>20</v>
      </c>
      <c r="E15" s="2"/>
    </row>
  </sheetData>
  <mergeCells count="2">
    <mergeCell ref="A5:E5"/>
    <mergeCell ref="A8:C8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成績情報登録ボタンクリック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71778-63E3-4C55-B991-AA050DFE4986}">
  <sheetPr codeName="Sheet3"/>
  <dimension ref="A1:E8"/>
  <sheetViews>
    <sheetView workbookViewId="0">
      <selection activeCell="D7" sqref="D7"/>
    </sheetView>
  </sheetViews>
  <sheetFormatPr defaultRowHeight="18.75" x14ac:dyDescent="0.4"/>
  <sheetData>
    <row r="1" spans="1:5" ht="38.25" customHeight="1" x14ac:dyDescent="0.4">
      <c r="A1" s="1" t="s">
        <v>12</v>
      </c>
    </row>
    <row r="2" spans="1:5" x14ac:dyDescent="0.4">
      <c r="A2" t="s">
        <v>13</v>
      </c>
    </row>
    <row r="4" spans="1:5" x14ac:dyDescent="0.4">
      <c r="A4" s="2" t="s">
        <v>7</v>
      </c>
      <c r="B4" s="2" t="s">
        <v>8</v>
      </c>
      <c r="C4" s="2" t="s">
        <v>9</v>
      </c>
      <c r="D4" s="2" t="s">
        <v>10</v>
      </c>
      <c r="E4" s="2" t="s">
        <v>14</v>
      </c>
    </row>
    <row r="5" spans="1:5" x14ac:dyDescent="0.4">
      <c r="A5" s="2">
        <v>1</v>
      </c>
      <c r="B5" s="2">
        <v>1</v>
      </c>
      <c r="C5" s="2">
        <v>2</v>
      </c>
      <c r="D5" s="2" t="s">
        <v>17</v>
      </c>
      <c r="E5" s="2"/>
    </row>
    <row r="6" spans="1:5" x14ac:dyDescent="0.4">
      <c r="A6" s="2">
        <v>1</v>
      </c>
      <c r="B6" s="2">
        <v>3</v>
      </c>
      <c r="C6" s="2">
        <v>2</v>
      </c>
      <c r="D6" s="2" t="s">
        <v>18</v>
      </c>
      <c r="E6" s="2"/>
    </row>
    <row r="7" spans="1:5" x14ac:dyDescent="0.4">
      <c r="A7" s="2">
        <v>2</v>
      </c>
      <c r="B7" s="2">
        <v>4</v>
      </c>
      <c r="C7" s="2">
        <v>3</v>
      </c>
      <c r="D7" s="2" t="s">
        <v>19</v>
      </c>
      <c r="E7" s="2"/>
    </row>
    <row r="8" spans="1:5" x14ac:dyDescent="0.4">
      <c r="A8" s="2">
        <v>2</v>
      </c>
      <c r="B8" s="2">
        <v>1</v>
      </c>
      <c r="C8" s="2">
        <v>4</v>
      </c>
      <c r="D8" s="2" t="s">
        <v>20</v>
      </c>
      <c r="E8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75289-AB66-417B-A673-5010EA9CBE60}">
  <sheetPr codeName="Sheet6"/>
  <dimension ref="A3:B8"/>
  <sheetViews>
    <sheetView tabSelected="1" workbookViewId="0">
      <selection activeCell="G14" sqref="G14"/>
    </sheetView>
  </sheetViews>
  <sheetFormatPr defaultRowHeight="18.75" x14ac:dyDescent="0.4"/>
  <cols>
    <col min="1" max="1" width="11.25" bestFit="1" customWidth="1"/>
    <col min="2" max="2" width="21.5" bestFit="1" customWidth="1"/>
  </cols>
  <sheetData>
    <row r="3" spans="1:2" x14ac:dyDescent="0.4">
      <c r="A3" s="17" t="s">
        <v>33</v>
      </c>
      <c r="B3" t="s">
        <v>37</v>
      </c>
    </row>
    <row r="4" spans="1:2" x14ac:dyDescent="0.4">
      <c r="A4" s="18" t="s">
        <v>19</v>
      </c>
      <c r="B4" s="16">
        <v>78.75</v>
      </c>
    </row>
    <row r="5" spans="1:2" x14ac:dyDescent="0.4">
      <c r="A5" s="18" t="s">
        <v>20</v>
      </c>
      <c r="B5" s="16">
        <v>94.375</v>
      </c>
    </row>
    <row r="6" spans="1:2" x14ac:dyDescent="0.4">
      <c r="A6" s="18" t="s">
        <v>17</v>
      </c>
      <c r="B6" s="16">
        <v>43.333333333333329</v>
      </c>
    </row>
    <row r="7" spans="1:2" x14ac:dyDescent="0.4">
      <c r="A7" s="18" t="s">
        <v>18</v>
      </c>
      <c r="B7" s="16">
        <v>58.958333333333329</v>
      </c>
    </row>
    <row r="8" spans="1:2" x14ac:dyDescent="0.4">
      <c r="A8" s="18" t="s">
        <v>34</v>
      </c>
      <c r="B8" s="16">
        <v>68.854166666666671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3B2B0-671E-4C84-BF44-D85243E39269}">
  <sheetPr codeName="Sheet5"/>
  <dimension ref="A1:L38"/>
  <sheetViews>
    <sheetView workbookViewId="0">
      <selection activeCell="K9" sqref="K9"/>
    </sheetView>
  </sheetViews>
  <sheetFormatPr defaultRowHeight="18.75" x14ac:dyDescent="0.4"/>
  <cols>
    <col min="1" max="1" width="16" bestFit="1" customWidth="1"/>
    <col min="8" max="8" width="15.875" bestFit="1" customWidth="1"/>
    <col min="9" max="9" width="16.625" customWidth="1"/>
    <col min="10" max="11" width="11.25" bestFit="1" customWidth="1"/>
    <col min="12" max="12" width="16.625" bestFit="1" customWidth="1"/>
    <col min="13" max="14" width="11.375" bestFit="1" customWidth="1"/>
    <col min="15" max="15" width="9.375" bestFit="1" customWidth="1"/>
  </cols>
  <sheetData>
    <row r="1" spans="1:12" x14ac:dyDescent="0.4">
      <c r="A1" t="s">
        <v>15</v>
      </c>
    </row>
    <row r="2" spans="1:12" x14ac:dyDescent="0.4">
      <c r="A2" s="9" t="s">
        <v>16</v>
      </c>
      <c r="B2" s="10" t="s">
        <v>5</v>
      </c>
      <c r="C2" s="10" t="s">
        <v>7</v>
      </c>
      <c r="D2" s="10" t="s">
        <v>8</v>
      </c>
      <c r="E2" s="10" t="s">
        <v>9</v>
      </c>
      <c r="F2" s="10" t="s">
        <v>10</v>
      </c>
      <c r="G2" s="11" t="s">
        <v>11</v>
      </c>
      <c r="H2" s="12" t="s">
        <v>26</v>
      </c>
      <c r="I2" s="10" t="s">
        <v>36</v>
      </c>
      <c r="K2" s="17" t="s">
        <v>33</v>
      </c>
      <c r="L2" t="s">
        <v>35</v>
      </c>
    </row>
    <row r="3" spans="1:12" x14ac:dyDescent="0.4">
      <c r="A3" s="6" t="s">
        <v>21</v>
      </c>
      <c r="B3" s="2">
        <v>40</v>
      </c>
      <c r="C3" s="2">
        <v>1</v>
      </c>
      <c r="D3" s="2">
        <v>1</v>
      </c>
      <c r="E3" s="2">
        <v>2</v>
      </c>
      <c r="F3" s="2" t="s">
        <v>17</v>
      </c>
      <c r="G3" s="2">
        <v>10</v>
      </c>
      <c r="H3" s="7"/>
      <c r="I3" s="10">
        <f>テーブル3[[#This Row],[点数]]/テーブル3[[#This Row],[満点]]*100</f>
        <v>25</v>
      </c>
      <c r="K3" s="18" t="s">
        <v>19</v>
      </c>
      <c r="L3" s="16">
        <v>0.78749999999999998</v>
      </c>
    </row>
    <row r="4" spans="1:12" x14ac:dyDescent="0.4">
      <c r="A4" s="6" t="s">
        <v>21</v>
      </c>
      <c r="B4" s="2">
        <v>40</v>
      </c>
      <c r="C4" s="2">
        <v>1</v>
      </c>
      <c r="D4" s="2">
        <v>3</v>
      </c>
      <c r="E4" s="2">
        <v>2</v>
      </c>
      <c r="F4" s="2" t="s">
        <v>18</v>
      </c>
      <c r="G4" s="2">
        <v>20</v>
      </c>
      <c r="H4" s="7"/>
      <c r="I4" s="2">
        <f>テーブル3[[#This Row],[点数]]/テーブル3[[#This Row],[満点]]*100</f>
        <v>50</v>
      </c>
      <c r="K4" s="18" t="s">
        <v>20</v>
      </c>
      <c r="L4" s="16">
        <v>0.94374999999999998</v>
      </c>
    </row>
    <row r="5" spans="1:12" x14ac:dyDescent="0.4">
      <c r="A5" s="6" t="s">
        <v>21</v>
      </c>
      <c r="B5" s="2">
        <v>40</v>
      </c>
      <c r="C5" s="2">
        <v>2</v>
      </c>
      <c r="D5" s="2">
        <v>4</v>
      </c>
      <c r="E5" s="2">
        <v>3</v>
      </c>
      <c r="F5" s="2" t="s">
        <v>19</v>
      </c>
      <c r="G5" s="2">
        <v>30</v>
      </c>
      <c r="H5" s="7"/>
      <c r="I5" s="2">
        <f>テーブル3[[#This Row],[点数]]/テーブル3[[#This Row],[満点]]*100</f>
        <v>75</v>
      </c>
      <c r="K5" s="18" t="s">
        <v>17</v>
      </c>
      <c r="L5" s="16">
        <v>0.43333333333333335</v>
      </c>
    </row>
    <row r="6" spans="1:12" x14ac:dyDescent="0.4">
      <c r="A6" s="6" t="s">
        <v>21</v>
      </c>
      <c r="B6" s="2">
        <v>40</v>
      </c>
      <c r="C6" s="2">
        <v>2</v>
      </c>
      <c r="D6" s="2">
        <v>1</v>
      </c>
      <c r="E6" s="2">
        <v>4</v>
      </c>
      <c r="F6" s="2" t="s">
        <v>20</v>
      </c>
      <c r="G6" s="2">
        <v>40</v>
      </c>
      <c r="H6" s="7"/>
      <c r="I6" s="2">
        <f>テーブル3[[#This Row],[点数]]/テーブル3[[#This Row],[満点]]*100</f>
        <v>100</v>
      </c>
      <c r="K6" s="18" t="s">
        <v>18</v>
      </c>
      <c r="L6" s="16">
        <v>0.58958333333333335</v>
      </c>
    </row>
    <row r="7" spans="1:12" x14ac:dyDescent="0.4">
      <c r="A7" s="6" t="s">
        <v>22</v>
      </c>
      <c r="B7" s="2">
        <v>40</v>
      </c>
      <c r="C7" s="2">
        <v>1</v>
      </c>
      <c r="D7" s="2">
        <v>1</v>
      </c>
      <c r="E7" s="2">
        <v>2</v>
      </c>
      <c r="F7" s="2" t="s">
        <v>17</v>
      </c>
      <c r="G7" s="2">
        <v>10</v>
      </c>
      <c r="H7" s="7"/>
      <c r="I7" s="2">
        <f>テーブル3[[#This Row],[点数]]/テーブル3[[#This Row],[満点]]*100</f>
        <v>25</v>
      </c>
      <c r="K7" s="18" t="s">
        <v>34</v>
      </c>
      <c r="L7" s="16">
        <v>0.68854166666666672</v>
      </c>
    </row>
    <row r="8" spans="1:12" x14ac:dyDescent="0.4">
      <c r="A8" s="6" t="s">
        <v>22</v>
      </c>
      <c r="B8" s="2">
        <v>40</v>
      </c>
      <c r="C8" s="2">
        <v>1</v>
      </c>
      <c r="D8" s="2">
        <v>3</v>
      </c>
      <c r="E8" s="2">
        <v>2</v>
      </c>
      <c r="F8" s="2" t="s">
        <v>18</v>
      </c>
      <c r="G8" s="2">
        <v>20</v>
      </c>
      <c r="H8" s="7"/>
      <c r="I8" s="2">
        <f>テーブル3[[#This Row],[点数]]/テーブル3[[#This Row],[満点]]*100</f>
        <v>50</v>
      </c>
    </row>
    <row r="9" spans="1:12" x14ac:dyDescent="0.4">
      <c r="A9" s="6" t="s">
        <v>22</v>
      </c>
      <c r="B9" s="2">
        <v>40</v>
      </c>
      <c r="C9" s="2">
        <v>2</v>
      </c>
      <c r="D9" s="2">
        <v>4</v>
      </c>
      <c r="E9" s="2">
        <v>3</v>
      </c>
      <c r="F9" s="2" t="s">
        <v>19</v>
      </c>
      <c r="G9" s="2">
        <v>30</v>
      </c>
      <c r="H9" s="7"/>
      <c r="I9" s="2">
        <f>テーブル3[[#This Row],[点数]]/テーブル3[[#This Row],[満点]]*100</f>
        <v>75</v>
      </c>
      <c r="K9" s="17" t="s">
        <v>33</v>
      </c>
      <c r="L9" t="s">
        <v>35</v>
      </c>
    </row>
    <row r="10" spans="1:12" x14ac:dyDescent="0.4">
      <c r="A10" s="6" t="s">
        <v>22</v>
      </c>
      <c r="B10" s="2">
        <v>40</v>
      </c>
      <c r="C10" s="2">
        <v>2</v>
      </c>
      <c r="D10" s="2">
        <v>1</v>
      </c>
      <c r="E10" s="2">
        <v>4</v>
      </c>
      <c r="F10" s="2" t="s">
        <v>20</v>
      </c>
      <c r="G10" s="2">
        <v>40</v>
      </c>
      <c r="H10" s="7"/>
      <c r="I10" s="2">
        <f>テーブル3[[#This Row],[点数]]/テーブル3[[#This Row],[満点]]*100</f>
        <v>100</v>
      </c>
      <c r="K10" s="18" t="s">
        <v>19</v>
      </c>
      <c r="L10" s="16">
        <v>0.78749999999999998</v>
      </c>
    </row>
    <row r="11" spans="1:12" x14ac:dyDescent="0.4">
      <c r="A11" s="6" t="s">
        <v>23</v>
      </c>
      <c r="B11" s="2">
        <v>40</v>
      </c>
      <c r="C11" s="2">
        <v>1</v>
      </c>
      <c r="D11" s="2">
        <v>1</v>
      </c>
      <c r="E11" s="2">
        <v>2</v>
      </c>
      <c r="F11" s="2" t="s">
        <v>17</v>
      </c>
      <c r="G11" s="2">
        <v>10</v>
      </c>
      <c r="H11" s="7"/>
      <c r="I11" s="2">
        <f>テーブル3[[#This Row],[点数]]/テーブル3[[#This Row],[満点]]*100</f>
        <v>25</v>
      </c>
      <c r="K11" s="18" t="s">
        <v>20</v>
      </c>
      <c r="L11" s="16">
        <v>0.94374999999999998</v>
      </c>
    </row>
    <row r="12" spans="1:12" x14ac:dyDescent="0.4">
      <c r="A12" s="6" t="s">
        <v>23</v>
      </c>
      <c r="B12" s="2">
        <v>40</v>
      </c>
      <c r="C12" s="2">
        <v>1</v>
      </c>
      <c r="D12" s="2">
        <v>3</v>
      </c>
      <c r="E12" s="2">
        <v>2</v>
      </c>
      <c r="F12" s="2" t="s">
        <v>18</v>
      </c>
      <c r="G12" s="2">
        <v>20</v>
      </c>
      <c r="H12" s="7"/>
      <c r="I12" s="2">
        <f>テーブル3[[#This Row],[点数]]/テーブル3[[#This Row],[満点]]*100</f>
        <v>50</v>
      </c>
      <c r="K12" s="18" t="s">
        <v>17</v>
      </c>
      <c r="L12" s="16">
        <v>0.43333333333333335</v>
      </c>
    </row>
    <row r="13" spans="1:12" x14ac:dyDescent="0.4">
      <c r="A13" s="6" t="s">
        <v>23</v>
      </c>
      <c r="B13" s="2">
        <v>40</v>
      </c>
      <c r="C13" s="2">
        <v>2</v>
      </c>
      <c r="D13" s="2">
        <v>4</v>
      </c>
      <c r="E13" s="2">
        <v>3</v>
      </c>
      <c r="F13" s="2" t="s">
        <v>19</v>
      </c>
      <c r="G13" s="2">
        <v>30</v>
      </c>
      <c r="H13" s="7"/>
      <c r="I13" s="2">
        <f>テーブル3[[#This Row],[点数]]/テーブル3[[#This Row],[満点]]*100</f>
        <v>75</v>
      </c>
      <c r="K13" s="18" t="s">
        <v>18</v>
      </c>
      <c r="L13" s="16">
        <v>0.58958333333333335</v>
      </c>
    </row>
    <row r="14" spans="1:12" x14ac:dyDescent="0.4">
      <c r="A14" s="6" t="s">
        <v>23</v>
      </c>
      <c r="B14" s="2">
        <v>40</v>
      </c>
      <c r="C14" s="2">
        <v>2</v>
      </c>
      <c r="D14" s="2">
        <v>1</v>
      </c>
      <c r="E14" s="2">
        <v>4</v>
      </c>
      <c r="F14" s="2" t="s">
        <v>20</v>
      </c>
      <c r="G14" s="2">
        <v>40</v>
      </c>
      <c r="H14" s="7"/>
      <c r="I14" s="2">
        <f>テーブル3[[#This Row],[点数]]/テーブル3[[#This Row],[満点]]*100</f>
        <v>100</v>
      </c>
      <c r="K14" s="18" t="s">
        <v>34</v>
      </c>
      <c r="L14" s="16">
        <v>0.68854166666666672</v>
      </c>
    </row>
    <row r="15" spans="1:12" x14ac:dyDescent="0.4">
      <c r="A15" s="6" t="s">
        <v>24</v>
      </c>
      <c r="B15" s="2">
        <v>40</v>
      </c>
      <c r="C15" s="2">
        <v>1</v>
      </c>
      <c r="D15" s="2">
        <v>1</v>
      </c>
      <c r="E15" s="2">
        <v>2</v>
      </c>
      <c r="F15" s="2" t="s">
        <v>17</v>
      </c>
      <c r="G15" s="2">
        <v>10</v>
      </c>
      <c r="H15" s="7"/>
      <c r="I15" s="2">
        <f>テーブル3[[#This Row],[点数]]/テーブル3[[#This Row],[満点]]*100</f>
        <v>25</v>
      </c>
    </row>
    <row r="16" spans="1:12" x14ac:dyDescent="0.4">
      <c r="A16" s="6" t="s">
        <v>24</v>
      </c>
      <c r="B16" s="2">
        <v>40</v>
      </c>
      <c r="C16" s="2">
        <v>1</v>
      </c>
      <c r="D16" s="2">
        <v>3</v>
      </c>
      <c r="E16" s="2">
        <v>2</v>
      </c>
      <c r="F16" s="2" t="s">
        <v>18</v>
      </c>
      <c r="G16" s="2">
        <v>20</v>
      </c>
      <c r="H16" s="7"/>
      <c r="I16" s="2">
        <f>テーブル3[[#This Row],[点数]]/テーブル3[[#This Row],[満点]]*100</f>
        <v>50</v>
      </c>
    </row>
    <row r="17" spans="1:9" x14ac:dyDescent="0.4">
      <c r="A17" s="6" t="s">
        <v>24</v>
      </c>
      <c r="B17" s="2">
        <v>40</v>
      </c>
      <c r="C17" s="2">
        <v>2</v>
      </c>
      <c r="D17" s="2">
        <v>4</v>
      </c>
      <c r="E17" s="2">
        <v>3</v>
      </c>
      <c r="F17" s="2" t="s">
        <v>19</v>
      </c>
      <c r="G17" s="2">
        <v>30</v>
      </c>
      <c r="H17" s="7"/>
      <c r="I17" s="2">
        <f>テーブル3[[#This Row],[点数]]/テーブル3[[#This Row],[満点]]*100</f>
        <v>75</v>
      </c>
    </row>
    <row r="18" spans="1:9" x14ac:dyDescent="0.4">
      <c r="A18" s="6" t="s">
        <v>24</v>
      </c>
      <c r="B18" s="2">
        <v>40</v>
      </c>
      <c r="C18" s="2">
        <v>2</v>
      </c>
      <c r="D18" s="2">
        <v>1</v>
      </c>
      <c r="E18" s="2">
        <v>4</v>
      </c>
      <c r="F18" s="2" t="s">
        <v>20</v>
      </c>
      <c r="G18" s="2">
        <v>40</v>
      </c>
      <c r="H18" s="7"/>
      <c r="I18" s="2">
        <f>テーブル3[[#This Row],[点数]]/テーブル3[[#This Row],[満点]]*100</f>
        <v>100</v>
      </c>
    </row>
    <row r="19" spans="1:9" x14ac:dyDescent="0.4">
      <c r="A19" s="6" t="s">
        <v>24</v>
      </c>
      <c r="B19" s="2">
        <v>40</v>
      </c>
      <c r="C19" s="2">
        <v>1</v>
      </c>
      <c r="D19" s="2">
        <v>1</v>
      </c>
      <c r="E19" s="2">
        <v>2</v>
      </c>
      <c r="F19" s="2" t="s">
        <v>17</v>
      </c>
      <c r="G19" s="2">
        <v>10</v>
      </c>
      <c r="H19" s="7"/>
      <c r="I19" s="2">
        <f>テーブル3[[#This Row],[点数]]/テーブル3[[#This Row],[満点]]*100</f>
        <v>25</v>
      </c>
    </row>
    <row r="20" spans="1:9" x14ac:dyDescent="0.4">
      <c r="A20" s="6" t="s">
        <v>24</v>
      </c>
      <c r="B20" s="2">
        <v>40</v>
      </c>
      <c r="C20" s="2">
        <v>1</v>
      </c>
      <c r="D20" s="2">
        <v>3</v>
      </c>
      <c r="E20" s="2">
        <v>2</v>
      </c>
      <c r="F20" s="2" t="s">
        <v>18</v>
      </c>
      <c r="G20" s="2">
        <v>20</v>
      </c>
      <c r="H20" s="7"/>
      <c r="I20" s="2">
        <f>テーブル3[[#This Row],[点数]]/テーブル3[[#This Row],[満点]]*100</f>
        <v>50</v>
      </c>
    </row>
    <row r="21" spans="1:9" x14ac:dyDescent="0.4">
      <c r="A21" s="6" t="s">
        <v>24</v>
      </c>
      <c r="B21" s="2">
        <v>40</v>
      </c>
      <c r="C21" s="2">
        <v>2</v>
      </c>
      <c r="D21" s="2">
        <v>4</v>
      </c>
      <c r="E21" s="2">
        <v>3</v>
      </c>
      <c r="F21" s="2" t="s">
        <v>19</v>
      </c>
      <c r="G21" s="2">
        <v>30</v>
      </c>
      <c r="H21" s="7"/>
      <c r="I21" s="2">
        <f>テーブル3[[#This Row],[点数]]/テーブル3[[#This Row],[満点]]*100</f>
        <v>75</v>
      </c>
    </row>
    <row r="22" spans="1:9" x14ac:dyDescent="0.4">
      <c r="A22" s="6" t="s">
        <v>24</v>
      </c>
      <c r="B22" s="2">
        <v>40</v>
      </c>
      <c r="C22" s="2">
        <v>2</v>
      </c>
      <c r="D22" s="2">
        <v>1</v>
      </c>
      <c r="E22" s="2">
        <v>4</v>
      </c>
      <c r="F22" s="2" t="s">
        <v>20</v>
      </c>
      <c r="G22" s="2">
        <v>40</v>
      </c>
      <c r="H22" s="7"/>
      <c r="I22" s="2">
        <f>テーブル3[[#This Row],[点数]]/テーブル3[[#This Row],[満点]]*100</f>
        <v>100</v>
      </c>
    </row>
    <row r="23" spans="1:9" x14ac:dyDescent="0.4">
      <c r="A23" s="6" t="s">
        <v>25</v>
      </c>
      <c r="B23" s="2">
        <v>3</v>
      </c>
      <c r="C23" s="2">
        <v>1</v>
      </c>
      <c r="D23" s="2">
        <v>1</v>
      </c>
      <c r="E23" s="2">
        <v>2</v>
      </c>
      <c r="F23" s="2" t="s">
        <v>17</v>
      </c>
      <c r="G23" s="2">
        <v>2</v>
      </c>
      <c r="H23" s="7"/>
      <c r="I23" s="2">
        <f>テーブル3[[#This Row],[点数]]/テーブル3[[#This Row],[満点]]*100</f>
        <v>66.666666666666657</v>
      </c>
    </row>
    <row r="24" spans="1:9" x14ac:dyDescent="0.4">
      <c r="A24" s="6" t="s">
        <v>25</v>
      </c>
      <c r="B24" s="2">
        <v>3</v>
      </c>
      <c r="C24" s="2">
        <v>1</v>
      </c>
      <c r="D24" s="2">
        <v>3</v>
      </c>
      <c r="E24" s="2">
        <v>2</v>
      </c>
      <c r="F24" s="2" t="s">
        <v>18</v>
      </c>
      <c r="G24" s="2">
        <v>2</v>
      </c>
      <c r="H24" s="7"/>
      <c r="I24" s="2">
        <f>テーブル3[[#This Row],[点数]]/テーブル3[[#This Row],[満点]]*100</f>
        <v>66.666666666666657</v>
      </c>
    </row>
    <row r="25" spans="1:9" x14ac:dyDescent="0.4">
      <c r="A25" s="6" t="s">
        <v>25</v>
      </c>
      <c r="B25" s="2">
        <v>3</v>
      </c>
      <c r="C25" s="2">
        <v>2</v>
      </c>
      <c r="D25" s="2">
        <v>4</v>
      </c>
      <c r="E25" s="2">
        <v>3</v>
      </c>
      <c r="F25" s="2" t="s">
        <v>19</v>
      </c>
      <c r="G25" s="2">
        <v>3</v>
      </c>
      <c r="H25" s="7"/>
      <c r="I25" s="2">
        <f>テーブル3[[#This Row],[点数]]/テーブル3[[#This Row],[満点]]*100</f>
        <v>100</v>
      </c>
    </row>
    <row r="26" spans="1:9" x14ac:dyDescent="0.4">
      <c r="A26" s="6" t="s">
        <v>25</v>
      </c>
      <c r="B26" s="2">
        <v>3</v>
      </c>
      <c r="C26" s="2">
        <v>2</v>
      </c>
      <c r="D26" s="2">
        <v>1</v>
      </c>
      <c r="E26" s="2">
        <v>4</v>
      </c>
      <c r="F26" s="2" t="s">
        <v>20</v>
      </c>
      <c r="G26" s="2">
        <v>3</v>
      </c>
      <c r="H26" s="7"/>
      <c r="I26" s="2">
        <f>テーブル3[[#This Row],[点数]]/テーブル3[[#This Row],[満点]]*100</f>
        <v>100</v>
      </c>
    </row>
    <row r="27" spans="1:9" x14ac:dyDescent="0.4">
      <c r="A27" s="6" t="s">
        <v>27</v>
      </c>
      <c r="B27" s="2">
        <v>5</v>
      </c>
      <c r="C27" s="2">
        <v>1</v>
      </c>
      <c r="D27" s="2">
        <v>1</v>
      </c>
      <c r="E27" s="2">
        <v>2</v>
      </c>
      <c r="F27" s="2" t="s">
        <v>17</v>
      </c>
      <c r="G27" s="2">
        <v>4</v>
      </c>
      <c r="H27" s="7"/>
      <c r="I27" s="2">
        <f>テーブル3[[#This Row],[点数]]/テーブル3[[#This Row],[満点]]*100</f>
        <v>80</v>
      </c>
    </row>
    <row r="28" spans="1:9" x14ac:dyDescent="0.4">
      <c r="A28" s="6" t="s">
        <v>27</v>
      </c>
      <c r="B28" s="2">
        <v>5</v>
      </c>
      <c r="C28" s="2">
        <v>1</v>
      </c>
      <c r="D28" s="2">
        <v>3</v>
      </c>
      <c r="E28" s="2">
        <v>2</v>
      </c>
      <c r="F28" s="2" t="s">
        <v>18</v>
      </c>
      <c r="G28" s="2">
        <v>4</v>
      </c>
      <c r="H28" s="7"/>
      <c r="I28" s="2">
        <f>テーブル3[[#This Row],[点数]]/テーブル3[[#This Row],[満点]]*100</f>
        <v>80</v>
      </c>
    </row>
    <row r="29" spans="1:9" x14ac:dyDescent="0.4">
      <c r="A29" s="6" t="s">
        <v>27</v>
      </c>
      <c r="B29" s="2">
        <v>5</v>
      </c>
      <c r="C29" s="2">
        <v>2</v>
      </c>
      <c r="D29" s="2">
        <v>4</v>
      </c>
      <c r="E29" s="2">
        <v>3</v>
      </c>
      <c r="F29" s="2" t="s">
        <v>19</v>
      </c>
      <c r="G29" s="2">
        <v>4</v>
      </c>
      <c r="H29" s="7"/>
      <c r="I29" s="2">
        <f>テーブル3[[#This Row],[点数]]/テーブル3[[#This Row],[満点]]*100</f>
        <v>80</v>
      </c>
    </row>
    <row r="30" spans="1:9" x14ac:dyDescent="0.4">
      <c r="A30" s="6" t="s">
        <v>27</v>
      </c>
      <c r="B30" s="2">
        <v>5</v>
      </c>
      <c r="C30" s="2">
        <v>2</v>
      </c>
      <c r="D30" s="2">
        <v>1</v>
      </c>
      <c r="E30" s="2">
        <v>4</v>
      </c>
      <c r="F30" s="2" t="s">
        <v>20</v>
      </c>
      <c r="G30" s="2">
        <v>4</v>
      </c>
      <c r="H30" s="7"/>
      <c r="I30" s="2">
        <f>テーブル3[[#This Row],[点数]]/テーブル3[[#This Row],[満点]]*100</f>
        <v>80</v>
      </c>
    </row>
    <row r="31" spans="1:9" x14ac:dyDescent="0.4">
      <c r="A31" s="6" t="s">
        <v>28</v>
      </c>
      <c r="B31" s="2">
        <v>4</v>
      </c>
      <c r="C31" s="2">
        <v>1</v>
      </c>
      <c r="D31" s="2">
        <v>1</v>
      </c>
      <c r="E31" s="2">
        <v>2</v>
      </c>
      <c r="F31" s="2" t="s">
        <v>17</v>
      </c>
      <c r="G31" s="2">
        <v>3</v>
      </c>
      <c r="H31" s="8">
        <v>45103.597546296296</v>
      </c>
      <c r="I31" s="2">
        <f>テーブル3[[#This Row],[点数]]/テーブル3[[#This Row],[満点]]*100</f>
        <v>75</v>
      </c>
    </row>
    <row r="32" spans="1:9" x14ac:dyDescent="0.4">
      <c r="A32" s="6" t="s">
        <v>28</v>
      </c>
      <c r="B32" s="2">
        <v>4</v>
      </c>
      <c r="C32" s="2">
        <v>1</v>
      </c>
      <c r="D32" s="2">
        <v>3</v>
      </c>
      <c r="E32" s="2">
        <v>2</v>
      </c>
      <c r="F32" s="2" t="s">
        <v>18</v>
      </c>
      <c r="G32" s="2">
        <v>3</v>
      </c>
      <c r="H32" s="8">
        <v>45103.597546296296</v>
      </c>
      <c r="I32" s="2">
        <f>テーブル3[[#This Row],[点数]]/テーブル3[[#This Row],[満点]]*100</f>
        <v>75</v>
      </c>
    </row>
    <row r="33" spans="1:9" x14ac:dyDescent="0.4">
      <c r="A33" s="6" t="s">
        <v>28</v>
      </c>
      <c r="B33" s="2">
        <v>4</v>
      </c>
      <c r="C33" s="2">
        <v>2</v>
      </c>
      <c r="D33" s="2">
        <v>4</v>
      </c>
      <c r="E33" s="2">
        <v>3</v>
      </c>
      <c r="F33" s="2" t="s">
        <v>19</v>
      </c>
      <c r="G33" s="2">
        <v>3</v>
      </c>
      <c r="H33" s="8">
        <v>45103.597546296296</v>
      </c>
      <c r="I33" s="2">
        <f>テーブル3[[#This Row],[点数]]/テーブル3[[#This Row],[満点]]*100</f>
        <v>75</v>
      </c>
    </row>
    <row r="34" spans="1:9" x14ac:dyDescent="0.4">
      <c r="A34" s="13" t="s">
        <v>28</v>
      </c>
      <c r="B34" s="14">
        <v>4</v>
      </c>
      <c r="C34" s="14">
        <v>2</v>
      </c>
      <c r="D34" s="14">
        <v>1</v>
      </c>
      <c r="E34" s="14">
        <v>4</v>
      </c>
      <c r="F34" s="14" t="s">
        <v>20</v>
      </c>
      <c r="G34" s="14">
        <v>3</v>
      </c>
      <c r="H34" s="15">
        <v>45103.597546296296</v>
      </c>
      <c r="I34" s="14">
        <f>テーブル3[[#This Row],[点数]]/テーブル3[[#This Row],[満点]]*100</f>
        <v>75</v>
      </c>
    </row>
    <row r="35" spans="1:9" x14ac:dyDescent="0.4">
      <c r="A35" s="20" t="s">
        <v>38</v>
      </c>
      <c r="B35" s="20">
        <v>15</v>
      </c>
      <c r="C35" s="20">
        <v>1</v>
      </c>
      <c r="D35" s="20">
        <v>1</v>
      </c>
      <c r="E35" s="20">
        <v>2</v>
      </c>
      <c r="F35" s="20" t="s">
        <v>17</v>
      </c>
      <c r="G35" s="20">
        <v>11</v>
      </c>
      <c r="H35" s="21">
        <v>45103.612997685188</v>
      </c>
      <c r="I35" s="19">
        <f>テーブル3[[#This Row],[点数]]/テーブル3[[#This Row],[満点]]*100</f>
        <v>73.333333333333329</v>
      </c>
    </row>
    <row r="36" spans="1:9" x14ac:dyDescent="0.4">
      <c r="A36" s="20" t="s">
        <v>38</v>
      </c>
      <c r="B36" s="20">
        <v>15</v>
      </c>
      <c r="C36" s="20">
        <v>1</v>
      </c>
      <c r="D36" s="20">
        <v>3</v>
      </c>
      <c r="E36" s="20">
        <v>2</v>
      </c>
      <c r="F36" s="20" t="s">
        <v>18</v>
      </c>
      <c r="G36" s="20">
        <v>2</v>
      </c>
      <c r="H36" s="21">
        <v>45103.612997685188</v>
      </c>
      <c r="I36" s="19">
        <f>テーブル3[[#This Row],[点数]]/テーブル3[[#This Row],[満点]]*100</f>
        <v>13.333333333333334</v>
      </c>
    </row>
    <row r="37" spans="1:9" x14ac:dyDescent="0.4">
      <c r="A37" s="20" t="s">
        <v>38</v>
      </c>
      <c r="B37" s="20">
        <v>15</v>
      </c>
      <c r="C37" s="20">
        <v>2</v>
      </c>
      <c r="D37" s="20">
        <v>4</v>
      </c>
      <c r="E37" s="20">
        <v>3</v>
      </c>
      <c r="F37" s="20" t="s">
        <v>19</v>
      </c>
      <c r="G37" s="20">
        <v>3</v>
      </c>
      <c r="H37" s="21">
        <v>45103.612997685188</v>
      </c>
      <c r="I37" s="19">
        <f>テーブル3[[#This Row],[点数]]/テーブル3[[#This Row],[満点]]*100</f>
        <v>20</v>
      </c>
    </row>
    <row r="38" spans="1:9" x14ac:dyDescent="0.4">
      <c r="A38" s="20" t="s">
        <v>38</v>
      </c>
      <c r="B38" s="20">
        <v>15</v>
      </c>
      <c r="C38" s="20">
        <v>2</v>
      </c>
      <c r="D38" s="20">
        <v>1</v>
      </c>
      <c r="E38" s="20">
        <v>4</v>
      </c>
      <c r="F38" s="20" t="s">
        <v>20</v>
      </c>
      <c r="G38" s="20">
        <v>2</v>
      </c>
      <c r="H38" s="21">
        <v>45103.612997685188</v>
      </c>
      <c r="I38" s="19">
        <f>テーブル3[[#This Row],[点数]]/テーブル3[[#This Row],[満点]]*100</f>
        <v>13.333333333333334</v>
      </c>
    </row>
  </sheetData>
  <phoneticPr fontId="1"/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生徒登録用</vt:lpstr>
      <vt:lpstr>成績登録用</vt:lpstr>
      <vt:lpstr>成績確認用</vt:lpstr>
      <vt:lpstr>Sheet5</vt:lpstr>
      <vt:lpstr>DB（成績情報）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RightServe</dc:creator>
  <cp:lastModifiedBy>RightServe</cp:lastModifiedBy>
  <dcterms:created xsi:type="dcterms:W3CDTF">2022-03-04T07:36:38Z</dcterms:created>
  <dcterms:modified xsi:type="dcterms:W3CDTF">2023-06-26T09:26:51Z</dcterms:modified>
</cp:coreProperties>
</file>